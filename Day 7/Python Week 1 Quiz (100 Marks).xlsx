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Python Week 1 Quiz" sheetId="1" r:id="rId1"/>
  </sheets>
  <calcPr calcId="124519"/>
</workbook>
</file>

<file path=xl/calcChain.xml><?xml version="1.0" encoding="utf-8"?>
<calcChain xmlns="http://schemas.openxmlformats.org/spreadsheetml/2006/main">
  <c r="K26" i="1"/>
  <c r="J26"/>
  <c r="K25"/>
  <c r="J25"/>
  <c r="K24"/>
  <c r="J24"/>
  <c r="K23"/>
  <c r="J23"/>
  <c r="K22"/>
  <c r="J22"/>
  <c r="K21"/>
  <c r="J21"/>
  <c r="K20"/>
  <c r="J20"/>
  <c r="K19"/>
  <c r="J19"/>
  <c r="K18"/>
  <c r="J18"/>
  <c r="K17"/>
  <c r="J17"/>
  <c r="K16"/>
  <c r="J16"/>
  <c r="K15"/>
  <c r="J15"/>
  <c r="K14"/>
  <c r="J14"/>
  <c r="K13"/>
  <c r="J13"/>
  <c r="K12"/>
  <c r="J12"/>
  <c r="K11"/>
  <c r="J11"/>
  <c r="K10"/>
  <c r="J10"/>
  <c r="K9"/>
  <c r="J9"/>
  <c r="K8"/>
  <c r="J8"/>
  <c r="K7"/>
  <c r="J7"/>
  <c r="F4" s="1"/>
  <c r="H4"/>
  <c r="J4" s="1"/>
</calcChain>
</file>

<file path=xl/sharedStrings.xml><?xml version="1.0" encoding="utf-8"?>
<sst xmlns="http://schemas.openxmlformats.org/spreadsheetml/2006/main" count="177" uniqueCount="125">
  <si>
    <t>Python Week 1 Quiz Dashboard</t>
  </si>
  <si>
    <t>Total Marks</t>
  </si>
  <si>
    <t>Passing Marks</t>
  </si>
  <si>
    <t>Your Score</t>
  </si>
  <si>
    <t>Questions Attempted</t>
  </si>
  <si>
    <t>Accuracy</t>
  </si>
  <si>
    <t>Q#</t>
  </si>
  <si>
    <t>Topic / Day</t>
  </si>
  <si>
    <t>Question Text</t>
  </si>
  <si>
    <t>Option A</t>
  </si>
  <si>
    <t>Option B</t>
  </si>
  <si>
    <t>Option C</t>
  </si>
  <si>
    <t>Option D</t>
  </si>
  <si>
    <t>Your Answer</t>
  </si>
  <si>
    <t>Correct Answer</t>
  </si>
  <si>
    <t>Marks</t>
  </si>
  <si>
    <t>Status</t>
  </si>
  <si>
    <t>Day 1: Variables &amp; Types</t>
  </si>
  <si>
    <t>What is the output of print(type(3 / 2)) in Python 3?</t>
  </si>
  <si>
    <t>A) &lt;class 'int'&gt;</t>
  </si>
  <si>
    <t>B) &lt;class 'float'&gt;</t>
  </si>
  <si>
    <t>C) &lt;class 'double'&gt;</t>
  </si>
  <si>
    <t>D) &lt;class 'number'&gt;</t>
  </si>
  <si>
    <t>B</t>
  </si>
  <si>
    <t>What is the result of int("10") + float("5.5")?</t>
  </si>
  <si>
    <t>A) 15.5</t>
  </si>
  <si>
    <t>B) "105.5"</t>
  </si>
  <si>
    <t>C) 15</t>
  </si>
  <si>
    <t>D) TypeError</t>
  </si>
  <si>
    <t>A</t>
  </si>
  <si>
    <t>Which operator is used for floor division in Python?</t>
  </si>
  <si>
    <t>A) /</t>
  </si>
  <si>
    <t>B) %</t>
  </si>
  <si>
    <t>C) //</t>
  </si>
  <si>
    <t>D) **</t>
  </si>
  <si>
    <t>C</t>
  </si>
  <si>
    <t>Day 2: Control Flow</t>
  </si>
  <si>
    <t>What is the evaluation of (True and False) or not (False or False)?</t>
  </si>
  <si>
    <t>A) False</t>
  </si>
  <si>
    <t>B) True</t>
  </si>
  <si>
    <t>C) None</t>
  </si>
  <si>
    <t>D) SyntaxError</t>
  </si>
  <si>
    <t>Which keyword is used to check multiple conditions sequentially after 'if'?</t>
  </si>
  <si>
    <t>A) else if</t>
  </si>
  <si>
    <t>B) elseif</t>
  </si>
  <si>
    <t>C) elif</t>
  </si>
  <si>
    <t>D) when</t>
  </si>
  <si>
    <t>What is the output of: x = 10; print("Eligible" if x &gt;= 18 else "Not Eligible")?</t>
  </si>
  <si>
    <t>A) Eligible</t>
  </si>
  <si>
    <t>B) Not Eligible</t>
  </si>
  <si>
    <t>C) True</t>
  </si>
  <si>
    <t>D) None</t>
  </si>
  <si>
    <t>Day 3: Loops &amp; Iteration</t>
  </si>
  <si>
    <t>What values does list(range(1, 10, 3)) generate?</t>
  </si>
  <si>
    <t>A) [1, 4, 7]</t>
  </si>
  <si>
    <t>B) [1, 4, 7, 10]</t>
  </si>
  <si>
    <t>C) [3, 6, 9]</t>
  </si>
  <si>
    <t>D) [1, 3, 6, 9]</t>
  </si>
  <si>
    <t>What does the 'break' statement do inside a loop?</t>
  </si>
  <si>
    <t>A) Skips current iteration</t>
  </si>
  <si>
    <t>B) Terminates the loop immediately</t>
  </si>
  <si>
    <t>C) Pauses the loop</t>
  </si>
  <si>
    <t>D) Restarts the loop from beginning</t>
  </si>
  <si>
    <t>What does 'continue' do when encountered in a while loop?</t>
  </si>
  <si>
    <t>A) Exits the loop</t>
  </si>
  <si>
    <t>B) Skips rest of current iteration and moves to next</t>
  </si>
  <si>
    <t>C) Breaks out of all nested loops</t>
  </si>
  <si>
    <t>D) Throws an exception</t>
  </si>
  <si>
    <t>When does an 'else' block attached to a 'for' loop execute?</t>
  </si>
  <si>
    <t>A) Never</t>
  </si>
  <si>
    <t>B) Every iteration</t>
  </si>
  <si>
    <t>C) Only if the loop completes without hitting a 'break'</t>
  </si>
  <si>
    <t>D) Only if the loop terminates via 'break'</t>
  </si>
  <si>
    <t>Day 4: Lists &amp; Tuples</t>
  </si>
  <si>
    <t>Given nums = [10, 20, 30, 40, 50], what is nums[1:4]?</t>
  </si>
  <si>
    <t>A) [10, 20, 30]</t>
  </si>
  <si>
    <t>B) [20, 30, 40]</t>
  </si>
  <si>
    <t>C) [20, 30, 40, 50]</t>
  </si>
  <si>
    <t>D) [10, 20, 30, 40]</t>
  </si>
  <si>
    <t>How do you reverse a list 'lst' using slicing?</t>
  </si>
  <si>
    <t>A) lst[::-1]</t>
  </si>
  <si>
    <t>B) lst[1::-1]</t>
  </si>
  <si>
    <t>C) lst[-1:0]</t>
  </si>
  <si>
    <t>D) lst[0:-1]</t>
  </si>
  <si>
    <t>Which statement about Python Tuples is true?</t>
  </si>
  <si>
    <t>A) Tuples are mutable</t>
  </si>
  <si>
    <t>B) Elements in a tuple can be modified using indexing</t>
  </si>
  <si>
    <t>C) Tuples are immutable</t>
  </si>
  <si>
    <t>D) Tuples cannot store multiple data types</t>
  </si>
  <si>
    <t>What method removes and returns the last element of a list?</t>
  </si>
  <si>
    <t>A) .remove()</t>
  </si>
  <si>
    <t>B) .delete()</t>
  </si>
  <si>
    <t>C) .pop()</t>
  </si>
  <si>
    <t>D) .discard()</t>
  </si>
  <si>
    <t>Day 5: Dictionaries &amp; Sets</t>
  </si>
  <si>
    <t>What is the average time complexity for key lookup in a Python dictionary?</t>
  </si>
  <si>
    <t>A) O(N)</t>
  </si>
  <si>
    <t>B) O(log N)</t>
  </si>
  <si>
    <t>C) O(1)</t>
  </si>
  <si>
    <t>D) O(N^2)</t>
  </si>
  <si>
    <t>What is the result of len({1, 2, 2, 3, 3, 3})?</t>
  </si>
  <si>
    <t>A) 6</t>
  </si>
  <si>
    <t>B) 3</t>
  </si>
  <si>
    <t>C) 1</t>
  </si>
  <si>
    <t>Which operator performs the intersection of two sets s1 and s2?</t>
  </si>
  <si>
    <t>A) s1 | s2</t>
  </si>
  <si>
    <t>B) s1 &amp; s2</t>
  </si>
  <si>
    <t>C) s1 ^ s2</t>
  </si>
  <si>
    <t>D) s1 - s2</t>
  </si>
  <si>
    <t>Day 6: Functions &amp; Scope</t>
  </si>
  <si>
    <t>What type of argument is collected by *args inside a function definition?</t>
  </si>
  <si>
    <t>A) Dictionary</t>
  </si>
  <si>
    <t>B) List</t>
  </si>
  <si>
    <t>C) Tuple</t>
  </si>
  <si>
    <t>D) Set</t>
  </si>
  <si>
    <t>What type of argument is collected by **kwargs inside a function definition?</t>
  </si>
  <si>
    <t>B) Tuple</t>
  </si>
  <si>
    <t>C) List</t>
  </si>
  <si>
    <t>D) String</t>
  </si>
  <si>
    <t>If a variable is modified inside a function without the 'global' keyword, what scope does it belong to?</t>
  </si>
  <si>
    <t>A) Built-in</t>
  </si>
  <si>
    <t>B) Global</t>
  </si>
  <si>
    <t>C) Local</t>
  </si>
  <si>
    <t>D) Enclosing</t>
  </si>
  <si>
    <t>D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</si>
</sst>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color rgb="FF1A1B1F"/>
      <name val="Roboto"/>
    </font>
  </fonts>
  <fills count="5">
    <fill>
      <patternFill patternType="none"/>
    </fill>
    <fill>
      <patternFill patternType="gray125"/>
    </fill>
    <fill>
      <patternFill patternType="solid">
        <fgColor rgb="FF425D90"/>
        <bgColor rgb="FF425D90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8F8FF"/>
      </patternFill>
    </fill>
  </fills>
  <borders count="2">
    <border>
      <left/>
      <right/>
      <top/>
      <bottom/>
      <diagonal/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2">
    <dxf>
      <fill>
        <patternFill patternType="solid">
          <fgColor rgb="FFFFCCCC"/>
          <bgColor rgb="FFFFCCCC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26"/>
  <sheetViews>
    <sheetView showGridLines="0" tabSelected="1" workbookViewId="0">
      <selection activeCell="H25" sqref="H25"/>
    </sheetView>
  </sheetViews>
  <sheetFormatPr defaultColWidth="12.5703125" defaultRowHeight="15.75" customHeight="1"/>
  <cols>
    <col min="1" max="1" width="5.140625" customWidth="1"/>
    <col min="2" max="2" width="18.85546875" customWidth="1"/>
    <col min="3" max="3" width="50.140625" customWidth="1"/>
    <col min="4" max="7" width="18.85546875" customWidth="1"/>
    <col min="8" max="8" width="15.140625" customWidth="1"/>
    <col min="9" max="9" width="15.140625" hidden="1" customWidth="1"/>
    <col min="10" max="10" width="10.140625" customWidth="1"/>
    <col min="11" max="11" width="15.140625" customWidth="1"/>
  </cols>
  <sheetData>
    <row r="1" spans="1:1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5.7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>
      <c r="A3" s="1"/>
      <c r="B3" s="2" t="s">
        <v>1</v>
      </c>
      <c r="C3" s="1"/>
      <c r="D3" s="2" t="s">
        <v>2</v>
      </c>
      <c r="E3" s="1"/>
      <c r="F3" s="2" t="s">
        <v>3</v>
      </c>
      <c r="G3" s="1"/>
      <c r="H3" s="2" t="s">
        <v>4</v>
      </c>
      <c r="I3" s="1"/>
      <c r="J3" s="2" t="s">
        <v>5</v>
      </c>
      <c r="K3" s="1"/>
    </row>
    <row r="4" spans="1:11">
      <c r="A4" s="1"/>
      <c r="B4" s="3">
        <v>100</v>
      </c>
      <c r="C4" s="1"/>
      <c r="D4" s="3">
        <v>60</v>
      </c>
      <c r="E4" s="1"/>
      <c r="F4" s="1">
        <f>SUM(J7:J26)</f>
        <v>85</v>
      </c>
      <c r="G4" s="1"/>
      <c r="H4" s="1">
        <f>COUNTA(H7:H26)</f>
        <v>20</v>
      </c>
      <c r="I4" s="1"/>
      <c r="J4" s="4">
        <f>IF(H4&gt;0, F4/(H4*5), 0)</f>
        <v>0.85</v>
      </c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</row>
    <row r="7" spans="1:11">
      <c r="A7" s="6">
        <v>1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6" t="s">
        <v>22</v>
      </c>
      <c r="H7" s="7" t="s">
        <v>23</v>
      </c>
      <c r="I7" s="6" t="s">
        <v>23</v>
      </c>
      <c r="J7" s="7">
        <f t="shared" ref="J7:J26" si="0">IF(ISBLANK(H7), 0, IF(UPPER(TRIM(H7))=I7, 5, 0))</f>
        <v>5</v>
      </c>
      <c r="K7" s="7" t="str">
        <f t="shared" ref="K7:K26" si="1">IF(ISBLANK(H7), "Not Attempted", IF(UPPER(TRIM(H7))=I7, "✓ Correct", "✗ Incorrect"))</f>
        <v>✓ Correct</v>
      </c>
    </row>
    <row r="8" spans="1:11">
      <c r="A8" s="6">
        <v>2</v>
      </c>
      <c r="B8" s="6" t="s">
        <v>17</v>
      </c>
      <c r="C8" s="6" t="s">
        <v>24</v>
      </c>
      <c r="D8" s="6" t="s">
        <v>25</v>
      </c>
      <c r="E8" s="6" t="s">
        <v>26</v>
      </c>
      <c r="F8" s="6" t="s">
        <v>27</v>
      </c>
      <c r="G8" s="6" t="s">
        <v>28</v>
      </c>
      <c r="H8" s="7" t="s">
        <v>29</v>
      </c>
      <c r="I8" s="6" t="s">
        <v>29</v>
      </c>
      <c r="J8" s="7">
        <f t="shared" si="0"/>
        <v>5</v>
      </c>
      <c r="K8" s="7" t="str">
        <f t="shared" si="1"/>
        <v>✓ Correct</v>
      </c>
    </row>
    <row r="9" spans="1:11">
      <c r="A9" s="6">
        <v>3</v>
      </c>
      <c r="B9" s="6" t="s">
        <v>17</v>
      </c>
      <c r="C9" s="6" t="s">
        <v>30</v>
      </c>
      <c r="D9" s="6" t="s">
        <v>31</v>
      </c>
      <c r="E9" s="6" t="s">
        <v>32</v>
      </c>
      <c r="F9" s="6" t="s">
        <v>33</v>
      </c>
      <c r="G9" s="6" t="s">
        <v>34</v>
      </c>
      <c r="H9" s="7" t="s">
        <v>35</v>
      </c>
      <c r="I9" s="6" t="s">
        <v>35</v>
      </c>
      <c r="J9" s="7">
        <f t="shared" si="0"/>
        <v>5</v>
      </c>
      <c r="K9" s="7" t="str">
        <f t="shared" si="1"/>
        <v>✓ Correct</v>
      </c>
    </row>
    <row r="10" spans="1:11">
      <c r="A10" s="6">
        <v>4</v>
      </c>
      <c r="B10" s="6" t="s">
        <v>36</v>
      </c>
      <c r="C10" s="6" t="s">
        <v>37</v>
      </c>
      <c r="D10" s="6" t="s">
        <v>38</v>
      </c>
      <c r="E10" s="6" t="s">
        <v>39</v>
      </c>
      <c r="F10" s="6" t="s">
        <v>40</v>
      </c>
      <c r="G10" s="6" t="s">
        <v>41</v>
      </c>
      <c r="H10" s="7" t="s">
        <v>23</v>
      </c>
      <c r="I10" s="6" t="s">
        <v>23</v>
      </c>
      <c r="J10" s="7">
        <f t="shared" si="0"/>
        <v>5</v>
      </c>
      <c r="K10" s="7" t="str">
        <f t="shared" si="1"/>
        <v>✓ Correct</v>
      </c>
    </row>
    <row r="11" spans="1:11">
      <c r="A11" s="6">
        <v>5</v>
      </c>
      <c r="B11" s="6" t="s">
        <v>36</v>
      </c>
      <c r="C11" s="6" t="s">
        <v>42</v>
      </c>
      <c r="D11" s="6" t="s">
        <v>43</v>
      </c>
      <c r="E11" s="6" t="s">
        <v>44</v>
      </c>
      <c r="F11" s="6" t="s">
        <v>45</v>
      </c>
      <c r="G11" s="6" t="s">
        <v>46</v>
      </c>
      <c r="H11" s="7" t="s">
        <v>35</v>
      </c>
      <c r="I11" s="6" t="s">
        <v>35</v>
      </c>
      <c r="J11" s="7">
        <f t="shared" si="0"/>
        <v>5</v>
      </c>
      <c r="K11" s="7" t="str">
        <f t="shared" si="1"/>
        <v>✓ Correct</v>
      </c>
    </row>
    <row r="12" spans="1:11">
      <c r="A12" s="6">
        <v>6</v>
      </c>
      <c r="B12" s="6" t="s">
        <v>36</v>
      </c>
      <c r="C12" s="6" t="s">
        <v>47</v>
      </c>
      <c r="D12" s="6" t="s">
        <v>48</v>
      </c>
      <c r="E12" s="6" t="s">
        <v>49</v>
      </c>
      <c r="F12" s="6" t="s">
        <v>50</v>
      </c>
      <c r="G12" s="6" t="s">
        <v>51</v>
      </c>
      <c r="H12" s="7" t="s">
        <v>35</v>
      </c>
      <c r="I12" s="6" t="s">
        <v>23</v>
      </c>
      <c r="J12" s="7">
        <f t="shared" si="0"/>
        <v>0</v>
      </c>
      <c r="K12" s="7" t="str">
        <f t="shared" si="1"/>
        <v>✗ Incorrect</v>
      </c>
    </row>
    <row r="13" spans="1:11">
      <c r="A13" s="6">
        <v>7</v>
      </c>
      <c r="B13" s="6" t="s">
        <v>52</v>
      </c>
      <c r="C13" s="6" t="s">
        <v>53</v>
      </c>
      <c r="D13" s="6" t="s">
        <v>54</v>
      </c>
      <c r="E13" s="6" t="s">
        <v>55</v>
      </c>
      <c r="F13" s="6" t="s">
        <v>56</v>
      </c>
      <c r="G13" s="6" t="s">
        <v>57</v>
      </c>
      <c r="H13" s="7" t="s">
        <v>29</v>
      </c>
      <c r="I13" s="6" t="s">
        <v>29</v>
      </c>
      <c r="J13" s="7">
        <f t="shared" si="0"/>
        <v>5</v>
      </c>
      <c r="K13" s="7" t="str">
        <f t="shared" si="1"/>
        <v>✓ Correct</v>
      </c>
    </row>
    <row r="14" spans="1:11">
      <c r="A14" s="6">
        <v>8</v>
      </c>
      <c r="B14" s="6" t="s">
        <v>52</v>
      </c>
      <c r="C14" s="6" t="s">
        <v>58</v>
      </c>
      <c r="D14" s="6" t="s">
        <v>59</v>
      </c>
      <c r="E14" s="6" t="s">
        <v>60</v>
      </c>
      <c r="F14" s="6" t="s">
        <v>61</v>
      </c>
      <c r="G14" s="6" t="s">
        <v>62</v>
      </c>
      <c r="H14" s="7" t="s">
        <v>23</v>
      </c>
      <c r="I14" s="6" t="s">
        <v>23</v>
      </c>
      <c r="J14" s="7">
        <f t="shared" si="0"/>
        <v>5</v>
      </c>
      <c r="K14" s="7" t="str">
        <f t="shared" si="1"/>
        <v>✓ Correct</v>
      </c>
    </row>
    <row r="15" spans="1:11">
      <c r="A15" s="6">
        <v>9</v>
      </c>
      <c r="B15" s="6" t="s">
        <v>52</v>
      </c>
      <c r="C15" s="6" t="s">
        <v>63</v>
      </c>
      <c r="D15" s="6" t="s">
        <v>64</v>
      </c>
      <c r="E15" s="6" t="s">
        <v>65</v>
      </c>
      <c r="F15" s="6" t="s">
        <v>66</v>
      </c>
      <c r="G15" s="6" t="s">
        <v>67</v>
      </c>
      <c r="H15" s="7" t="s">
        <v>124</v>
      </c>
      <c r="I15" s="6" t="s">
        <v>23</v>
      </c>
      <c r="J15" s="7">
        <f t="shared" si="0"/>
        <v>0</v>
      </c>
      <c r="K15" s="7" t="str">
        <f t="shared" si="1"/>
        <v>✗ Incorrect</v>
      </c>
    </row>
    <row r="16" spans="1:11">
      <c r="A16" s="6">
        <v>10</v>
      </c>
      <c r="B16" s="6" t="s">
        <v>52</v>
      </c>
      <c r="C16" s="7" t="s">
        <v>68</v>
      </c>
      <c r="D16" s="6" t="s">
        <v>69</v>
      </c>
      <c r="E16" s="6" t="s">
        <v>70</v>
      </c>
      <c r="F16" s="6" t="s">
        <v>71</v>
      </c>
      <c r="G16" s="6" t="s">
        <v>72</v>
      </c>
      <c r="H16" s="7" t="s">
        <v>35</v>
      </c>
      <c r="I16" s="6" t="s">
        <v>35</v>
      </c>
      <c r="J16" s="7">
        <f t="shared" si="0"/>
        <v>5</v>
      </c>
      <c r="K16" s="7" t="str">
        <f t="shared" si="1"/>
        <v>✓ Correct</v>
      </c>
    </row>
    <row r="17" spans="1:11">
      <c r="A17" s="6">
        <v>11</v>
      </c>
      <c r="B17" s="6" t="s">
        <v>73</v>
      </c>
      <c r="C17" s="6" t="s">
        <v>74</v>
      </c>
      <c r="D17" s="6" t="s">
        <v>75</v>
      </c>
      <c r="E17" s="6" t="s">
        <v>76</v>
      </c>
      <c r="F17" s="6" t="s">
        <v>77</v>
      </c>
      <c r="G17" s="6" t="s">
        <v>78</v>
      </c>
      <c r="H17" s="7" t="s">
        <v>23</v>
      </c>
      <c r="I17" s="6" t="s">
        <v>23</v>
      </c>
      <c r="J17" s="7">
        <f t="shared" si="0"/>
        <v>5</v>
      </c>
      <c r="K17" s="7" t="str">
        <f t="shared" si="1"/>
        <v>✓ Correct</v>
      </c>
    </row>
    <row r="18" spans="1:11">
      <c r="A18" s="6">
        <v>12</v>
      </c>
      <c r="B18" s="6" t="s">
        <v>73</v>
      </c>
      <c r="C18" s="6" t="s">
        <v>79</v>
      </c>
      <c r="D18" s="6" t="s">
        <v>80</v>
      </c>
      <c r="E18" s="6" t="s">
        <v>81</v>
      </c>
      <c r="F18" s="6" t="s">
        <v>82</v>
      </c>
      <c r="G18" s="6" t="s">
        <v>83</v>
      </c>
      <c r="H18" s="7" t="s">
        <v>29</v>
      </c>
      <c r="I18" s="6" t="s">
        <v>29</v>
      </c>
      <c r="J18" s="7">
        <f t="shared" si="0"/>
        <v>5</v>
      </c>
      <c r="K18" s="7" t="str">
        <f t="shared" si="1"/>
        <v>✓ Correct</v>
      </c>
    </row>
    <row r="19" spans="1:11">
      <c r="A19" s="6">
        <v>13</v>
      </c>
      <c r="B19" s="6" t="s">
        <v>73</v>
      </c>
      <c r="C19" s="6" t="s">
        <v>84</v>
      </c>
      <c r="D19" s="6" t="s">
        <v>85</v>
      </c>
      <c r="E19" s="6" t="s">
        <v>86</v>
      </c>
      <c r="F19" s="6" t="s">
        <v>87</v>
      </c>
      <c r="G19" s="6" t="s">
        <v>88</v>
      </c>
      <c r="H19" s="7" t="s">
        <v>35</v>
      </c>
      <c r="I19" s="6" t="s">
        <v>35</v>
      </c>
      <c r="J19" s="7">
        <f t="shared" si="0"/>
        <v>5</v>
      </c>
      <c r="K19" s="7" t="str">
        <f t="shared" si="1"/>
        <v>✓ Correct</v>
      </c>
    </row>
    <row r="20" spans="1:11">
      <c r="A20" s="6">
        <v>14</v>
      </c>
      <c r="B20" s="6" t="s">
        <v>73</v>
      </c>
      <c r="C20" s="6" t="s">
        <v>89</v>
      </c>
      <c r="D20" s="6" t="s">
        <v>90</v>
      </c>
      <c r="E20" s="6" t="s">
        <v>91</v>
      </c>
      <c r="F20" s="6" t="s">
        <v>92</v>
      </c>
      <c r="G20" s="6" t="s">
        <v>93</v>
      </c>
      <c r="H20" s="7" t="s">
        <v>35</v>
      </c>
      <c r="I20" s="6" t="s">
        <v>35</v>
      </c>
      <c r="J20" s="7">
        <f t="shared" si="0"/>
        <v>5</v>
      </c>
      <c r="K20" s="7" t="str">
        <f t="shared" si="1"/>
        <v>✓ Correct</v>
      </c>
    </row>
    <row r="21" spans="1:11">
      <c r="A21" s="6">
        <v>15</v>
      </c>
      <c r="B21" s="6" t="s">
        <v>94</v>
      </c>
      <c r="C21" s="6" t="s">
        <v>95</v>
      </c>
      <c r="D21" s="6" t="s">
        <v>96</v>
      </c>
      <c r="E21" s="6" t="s">
        <v>97</v>
      </c>
      <c r="F21" s="6" t="s">
        <v>98</v>
      </c>
      <c r="G21" s="6" t="s">
        <v>99</v>
      </c>
      <c r="H21" s="7" t="s">
        <v>35</v>
      </c>
      <c r="I21" s="6" t="s">
        <v>35</v>
      </c>
      <c r="J21" s="7">
        <f t="shared" si="0"/>
        <v>5</v>
      </c>
      <c r="K21" s="7" t="str">
        <f t="shared" si="1"/>
        <v>✓ Correct</v>
      </c>
    </row>
    <row r="22" spans="1:11">
      <c r="A22" s="6">
        <v>16</v>
      </c>
      <c r="B22" s="6" t="s">
        <v>94</v>
      </c>
      <c r="C22" s="6" t="s">
        <v>100</v>
      </c>
      <c r="D22" s="6" t="s">
        <v>101</v>
      </c>
      <c r="E22" s="6" t="s">
        <v>102</v>
      </c>
      <c r="F22" s="6" t="s">
        <v>103</v>
      </c>
      <c r="G22" s="6" t="s">
        <v>28</v>
      </c>
      <c r="H22" s="7" t="s">
        <v>23</v>
      </c>
      <c r="I22" s="6" t="s">
        <v>23</v>
      </c>
      <c r="J22" s="7">
        <f t="shared" si="0"/>
        <v>5</v>
      </c>
      <c r="K22" s="7" t="str">
        <f t="shared" si="1"/>
        <v>✓ Correct</v>
      </c>
    </row>
    <row r="23" spans="1:11">
      <c r="A23" s="6">
        <v>17</v>
      </c>
      <c r="B23" s="6" t="s">
        <v>94</v>
      </c>
      <c r="C23" s="6" t="s">
        <v>104</v>
      </c>
      <c r="D23" s="6" t="s">
        <v>105</v>
      </c>
      <c r="E23" s="6" t="s">
        <v>106</v>
      </c>
      <c r="F23" s="6" t="s">
        <v>107</v>
      </c>
      <c r="G23" s="6" t="s">
        <v>108</v>
      </c>
      <c r="H23" s="7" t="s">
        <v>23</v>
      </c>
      <c r="I23" s="6" t="s">
        <v>23</v>
      </c>
      <c r="J23" s="7">
        <f t="shared" si="0"/>
        <v>5</v>
      </c>
      <c r="K23" s="7" t="str">
        <f t="shared" si="1"/>
        <v>✓ Correct</v>
      </c>
    </row>
    <row r="24" spans="1:11">
      <c r="A24" s="6">
        <v>18</v>
      </c>
      <c r="B24" s="6" t="s">
        <v>109</v>
      </c>
      <c r="C24" s="6" t="s">
        <v>110</v>
      </c>
      <c r="D24" s="6" t="s">
        <v>111</v>
      </c>
      <c r="E24" s="6" t="s">
        <v>112</v>
      </c>
      <c r="F24" s="6" t="s">
        <v>113</v>
      </c>
      <c r="G24" s="6" t="s">
        <v>114</v>
      </c>
      <c r="H24" s="7" t="s">
        <v>29</v>
      </c>
      <c r="I24" s="6" t="s">
        <v>35</v>
      </c>
      <c r="J24" s="7">
        <f t="shared" si="0"/>
        <v>0</v>
      </c>
      <c r="K24" s="7" t="str">
        <f t="shared" si="1"/>
        <v>✗ Incorrect</v>
      </c>
    </row>
    <row r="25" spans="1:11">
      <c r="A25" s="6">
        <v>19</v>
      </c>
      <c r="B25" s="6" t="s">
        <v>109</v>
      </c>
      <c r="C25" s="6" t="s">
        <v>115</v>
      </c>
      <c r="D25" s="6" t="s">
        <v>111</v>
      </c>
      <c r="E25" s="6" t="s">
        <v>116</v>
      </c>
      <c r="F25" s="6" t="s">
        <v>117</v>
      </c>
      <c r="G25" s="6" t="s">
        <v>118</v>
      </c>
      <c r="H25" s="7" t="s">
        <v>29</v>
      </c>
      <c r="I25" s="6" t="s">
        <v>29</v>
      </c>
      <c r="J25" s="7">
        <f t="shared" si="0"/>
        <v>5</v>
      </c>
      <c r="K25" s="7" t="str">
        <f t="shared" si="1"/>
        <v>✓ Correct</v>
      </c>
    </row>
    <row r="26" spans="1:11">
      <c r="A26" s="6">
        <v>20</v>
      </c>
      <c r="B26" s="6" t="s">
        <v>109</v>
      </c>
      <c r="C26" s="6" t="s">
        <v>119</v>
      </c>
      <c r="D26" s="6" t="s">
        <v>120</v>
      </c>
      <c r="E26" s="6" t="s">
        <v>121</v>
      </c>
      <c r="F26" s="6" t="s">
        <v>122</v>
      </c>
      <c r="G26" s="6" t="s">
        <v>123</v>
      </c>
      <c r="H26" s="7" t="s">
        <v>35</v>
      </c>
      <c r="I26" s="6" t="s">
        <v>35</v>
      </c>
      <c r="J26" s="7">
        <f t="shared" si="0"/>
        <v>5</v>
      </c>
      <c r="K26" s="7" t="str">
        <f t="shared" si="1"/>
        <v>✓ Correct</v>
      </c>
    </row>
  </sheetData>
  <mergeCells count="1">
    <mergeCell ref="A1:K2"/>
  </mergeCells>
  <conditionalFormatting sqref="A7:K26">
    <cfRule type="expression" dxfId="1" priority="1" stopIfTrue="1">
      <formula>AND(NOT(ISBLANK($H7)), UPPER(TRIM($H7))=$I7)</formula>
    </cfRule>
  </conditionalFormatting>
  <conditionalFormatting sqref="A7:K26">
    <cfRule type="expression" dxfId="0" priority="2" stopIfTrue="1">
      <formula>AND(NOT(ISBLANK($H7)), UPPER(TRIM($H7))&lt;&gt;$I7)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 Week 1 Quiz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HARIPADA</cp:lastModifiedBy>
  <dcterms:modified xsi:type="dcterms:W3CDTF">2026-10-15T01:16:59Z</dcterms:modified>
</cp:coreProperties>
</file>